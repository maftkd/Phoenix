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ichael\Documents\Apps\Phoenix\Business\"/>
    </mc:Choice>
  </mc:AlternateContent>
  <xr:revisionPtr revIDLastSave="0" documentId="8_{B20BA641-BA52-433D-88B1-AFAFD2C98D58}" xr6:coauthVersionLast="47" xr6:coauthVersionMax="47" xr10:uidLastSave="{00000000-0000-0000-0000-000000000000}"/>
  <bookViews>
    <workbookView xWindow="-120" yWindow="-120" windowWidth="29040" windowHeight="16440" xr2:uid="{00000000-000D-0000-FFFF-FFFF00000000}"/>
  </bookViews>
  <sheets>
    <sheet name="Get The Rate" sheetId="1" r:id="rId1"/>
  </sheets>
  <definedNames>
    <definedName name="annual_rate">'Get The Rate'!$J$3</definedName>
    <definedName name="finalremainder">'Get The Rate'!$D$38</definedName>
    <definedName name="Principal">'Get The Rate'!$J$2</definedName>
    <definedName name="tolerance">'Get The Rate'!$J$4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 i="1" l="1"/>
  <c r="D3" i="1" l="1"/>
  <c r="C16" i="1" l="1"/>
  <c r="C17" i="1"/>
  <c r="C18" i="1"/>
  <c r="C19" i="1"/>
  <c r="C20" i="1"/>
  <c r="C21" i="1"/>
  <c r="C22" i="1"/>
  <c r="C23" i="1"/>
  <c r="C24" i="1"/>
  <c r="C25" i="1"/>
  <c r="C26" i="1"/>
  <c r="C27" i="1"/>
  <c r="C28" i="1"/>
  <c r="C29" i="1"/>
  <c r="C30" i="1"/>
  <c r="C31" i="1"/>
  <c r="C32" i="1"/>
  <c r="C33" i="1"/>
  <c r="C34" i="1"/>
  <c r="C35" i="1"/>
  <c r="C36" i="1"/>
  <c r="C37" i="1"/>
  <c r="C38" i="1"/>
  <c r="C15" i="1"/>
  <c r="B4" i="1"/>
  <c r="D4" i="1" s="1"/>
  <c r="B5" i="1" s="1"/>
  <c r="D5" i="1" s="1"/>
  <c r="B6" i="1" s="1"/>
  <c r="D6" i="1" s="1"/>
  <c r="B7" i="1" s="1"/>
  <c r="D7" i="1" s="1"/>
  <c r="B8" i="1" s="1"/>
  <c r="D8" i="1" s="1"/>
  <c r="B9" i="1" s="1"/>
  <c r="D9" i="1" s="1"/>
  <c r="B10" i="1" s="1"/>
  <c r="D10" i="1" s="1"/>
  <c r="B11" i="1" s="1"/>
  <c r="D11" i="1" s="1"/>
  <c r="B12" i="1" s="1"/>
  <c r="D12" i="1" s="1"/>
  <c r="B13" i="1" s="1"/>
  <c r="D13" i="1" s="1"/>
  <c r="B14" i="1" s="1"/>
  <c r="D14" i="1" s="1"/>
  <c r="B15" i="1" s="1"/>
  <c r="D15" i="1" l="1"/>
  <c r="B16" i="1" s="1"/>
  <c r="D16" i="1" s="1"/>
  <c r="B17" i="1" s="1"/>
  <c r="D17" i="1" s="1"/>
  <c r="B18" i="1" s="1"/>
  <c r="D18" i="1" s="1"/>
  <c r="B19" i="1" s="1"/>
  <c r="D19" i="1" s="1"/>
  <c r="B20" i="1" s="1"/>
  <c r="D20" i="1" s="1"/>
  <c r="B21" i="1" s="1"/>
  <c r="D21" i="1" s="1"/>
  <c r="B22" i="1" s="1"/>
  <c r="D22" i="1" s="1"/>
  <c r="B23" i="1" s="1"/>
  <c r="D23" i="1" s="1"/>
  <c r="B24" i="1" s="1"/>
  <c r="D24" i="1" s="1"/>
  <c r="B25" i="1" s="1"/>
  <c r="D25" i="1" s="1"/>
  <c r="B26" i="1" s="1"/>
  <c r="D26" i="1" s="1"/>
  <c r="B27" i="1" s="1"/>
  <c r="D27" i="1" s="1"/>
  <c r="B28" i="1" s="1"/>
  <c r="D28" i="1" s="1"/>
  <c r="B29" i="1" s="1"/>
  <c r="D29" i="1" s="1"/>
  <c r="B30" i="1" s="1"/>
  <c r="D30" i="1" s="1"/>
  <c r="B31" i="1" s="1"/>
  <c r="D31" i="1" s="1"/>
  <c r="B32" i="1" s="1"/>
  <c r="D32" i="1" s="1"/>
  <c r="B33" i="1" s="1"/>
  <c r="D33" i="1" s="1"/>
  <c r="B34" i="1" s="1"/>
  <c r="D34" i="1" s="1"/>
  <c r="B35" i="1" s="1"/>
  <c r="D35" i="1" s="1"/>
  <c r="B36" i="1" s="1"/>
  <c r="D36" i="1" s="1"/>
  <c r="B37" i="1" s="1"/>
  <c r="D37" i="1" s="1"/>
  <c r="B38" i="1" s="1"/>
  <c r="C39" i="1"/>
  <c r="J5" i="1" l="1"/>
  <c r="D38" i="1"/>
</calcChain>
</file>

<file path=xl/sharedStrings.xml><?xml version="1.0" encoding="utf-8"?>
<sst xmlns="http://schemas.openxmlformats.org/spreadsheetml/2006/main" count="11" uniqueCount="11">
  <si>
    <t>Month</t>
  </si>
  <si>
    <t>payment</t>
  </si>
  <si>
    <t>remainder</t>
  </si>
  <si>
    <t>principal</t>
  </si>
  <si>
    <t>Principal</t>
  </si>
  <si>
    <t>tolerance</t>
  </si>
  <si>
    <t>error</t>
  </si>
  <si>
    <t>Annual Rate</t>
  </si>
  <si>
    <t>Change these three
Principal is amout of loan
Annual Rate is guess for equivalent APR
Tolerance is allowable error in final remainder
error is the actual final error (ideally zero but wont be)</t>
  </si>
  <si>
    <t>&lt;&lt;----  After you make your changes hit this button</t>
  </si>
  <si>
    <t>It will calculate the equivalent rate and show you the actual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</si>
</sst>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64" fontId="0" fillId="0" borderId="0" xfId="0" applyNumberFormat="1"/>
    <xf numFmtId="2" fontId="0" fillId="0" borderId="0" xfId="0" applyNumberFormat="1"/>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6</xdr:row>
          <xdr:rowOff>28575</xdr:rowOff>
        </xdr:from>
        <xdr:to>
          <xdr:col>9</xdr:col>
          <xdr:colOff>495300</xdr:colOff>
          <xdr:row>8</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The 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9"/>
  <sheetViews>
    <sheetView tabSelected="1" workbookViewId="0">
      <selection activeCell="D3" sqref="D3"/>
    </sheetView>
  </sheetViews>
  <sheetFormatPr defaultRowHeight="15" x14ac:dyDescent="0.25"/>
  <cols>
    <col min="2" max="2" width="9.140625" style="2"/>
    <col min="3" max="3" width="12" style="2" bestFit="1" customWidth="1"/>
    <col min="4" max="4" width="9.140625" style="2"/>
    <col min="9" max="9" width="11.7109375" bestFit="1" customWidth="1"/>
    <col min="10" max="10" width="8.140625" customWidth="1"/>
  </cols>
  <sheetData>
    <row r="1" spans="1:17" x14ac:dyDescent="0.25">
      <c r="L1" s="3" t="s">
        <v>8</v>
      </c>
      <c r="M1" s="3"/>
      <c r="N1" s="3"/>
      <c r="O1" s="3"/>
      <c r="P1" s="3"/>
      <c r="Q1" s="3"/>
    </row>
    <row r="2" spans="1:17" ht="15" customHeight="1" x14ac:dyDescent="0.25">
      <c r="A2" t="s">
        <v>0</v>
      </c>
      <c r="B2" s="2" t="s">
        <v>3</v>
      </c>
      <c r="C2" s="2" t="s">
        <v>1</v>
      </c>
      <c r="D2" s="2" t="s">
        <v>2</v>
      </c>
      <c r="I2" t="s">
        <v>4</v>
      </c>
      <c r="J2">
        <v>10000</v>
      </c>
      <c r="L2" s="3"/>
      <c r="M2" s="3"/>
      <c r="N2" s="3"/>
      <c r="O2" s="3"/>
      <c r="P2" s="3"/>
      <c r="Q2" s="3"/>
    </row>
    <row r="3" spans="1:17" x14ac:dyDescent="0.25">
      <c r="A3">
        <v>1</v>
      </c>
      <c r="B3" s="2">
        <f>Principal</f>
        <v>10000</v>
      </c>
      <c r="D3" s="2">
        <f t="shared" ref="D3:D37" si="0">ROUND(B3*(1+annual_rate/12)-C3,2)</f>
        <v>10295.450000000001</v>
      </c>
      <c r="I3" t="s">
        <v>7</v>
      </c>
      <c r="J3" s="1">
        <v>0.35454424506543308</v>
      </c>
      <c r="L3" s="3"/>
      <c r="M3" s="3"/>
      <c r="N3" s="3"/>
      <c r="O3" s="3"/>
      <c r="P3" s="3"/>
      <c r="Q3" s="3"/>
    </row>
    <row r="4" spans="1:17" x14ac:dyDescent="0.25">
      <c r="A4">
        <v>2</v>
      </c>
      <c r="B4" s="2">
        <f>D3</f>
        <v>10295.450000000001</v>
      </c>
      <c r="D4" s="2">
        <f t="shared" si="0"/>
        <v>10599.63</v>
      </c>
      <c r="I4" t="s">
        <v>5</v>
      </c>
      <c r="J4">
        <v>1</v>
      </c>
      <c r="L4" s="3"/>
      <c r="M4" s="3"/>
      <c r="N4" s="3"/>
      <c r="O4" s="3"/>
      <c r="P4" s="3"/>
      <c r="Q4" s="3"/>
    </row>
    <row r="5" spans="1:17" x14ac:dyDescent="0.25">
      <c r="A5">
        <v>3</v>
      </c>
      <c r="B5" s="2">
        <f t="shared" ref="B5:B38" si="1">D4</f>
        <v>10599.63</v>
      </c>
      <c r="D5" s="2">
        <f t="shared" si="0"/>
        <v>10912.8</v>
      </c>
      <c r="I5" t="s">
        <v>6</v>
      </c>
      <c r="J5">
        <f>ROUND(B38*(1+annual_rate/12)-C38,2)</f>
        <v>-0.03</v>
      </c>
      <c r="L5" s="3"/>
      <c r="M5" s="3"/>
      <c r="N5" s="3"/>
      <c r="O5" s="3"/>
      <c r="P5" s="3"/>
      <c r="Q5" s="3"/>
    </row>
    <row r="6" spans="1:17" x14ac:dyDescent="0.25">
      <c r="A6">
        <v>4</v>
      </c>
      <c r="B6" s="2">
        <f t="shared" si="1"/>
        <v>10912.8</v>
      </c>
      <c r="D6" s="2">
        <f t="shared" si="0"/>
        <v>11235.22</v>
      </c>
    </row>
    <row r="7" spans="1:17" x14ac:dyDescent="0.25">
      <c r="A7">
        <v>5</v>
      </c>
      <c r="B7" s="2">
        <f t="shared" si="1"/>
        <v>11235.22</v>
      </c>
      <c r="D7" s="2">
        <f t="shared" si="0"/>
        <v>11567.17</v>
      </c>
    </row>
    <row r="8" spans="1:17" x14ac:dyDescent="0.25">
      <c r="A8">
        <v>6</v>
      </c>
      <c r="B8" s="2">
        <f t="shared" si="1"/>
        <v>11567.17</v>
      </c>
      <c r="D8" s="2">
        <f t="shared" si="0"/>
        <v>11908.93</v>
      </c>
      <c r="L8" t="s">
        <v>9</v>
      </c>
    </row>
    <row r="9" spans="1:17" x14ac:dyDescent="0.25">
      <c r="A9">
        <v>7</v>
      </c>
      <c r="B9" s="2">
        <f t="shared" si="1"/>
        <v>11908.93</v>
      </c>
      <c r="D9" s="2">
        <f t="shared" si="0"/>
        <v>12260.78</v>
      </c>
    </row>
    <row r="10" spans="1:17" x14ac:dyDescent="0.25">
      <c r="A10">
        <v>8</v>
      </c>
      <c r="B10" s="2">
        <f t="shared" si="1"/>
        <v>12260.78</v>
      </c>
      <c r="D10" s="2">
        <f t="shared" si="0"/>
        <v>12623.03</v>
      </c>
    </row>
    <row r="11" spans="1:17" x14ac:dyDescent="0.25">
      <c r="A11">
        <v>9</v>
      </c>
      <c r="B11" s="2">
        <f t="shared" si="1"/>
        <v>12623.03</v>
      </c>
      <c r="D11" s="2">
        <f t="shared" si="0"/>
        <v>12995.98</v>
      </c>
      <c r="L11" t="s">
        <v>10</v>
      </c>
    </row>
    <row r="12" spans="1:17" x14ac:dyDescent="0.25">
      <c r="A12">
        <v>10</v>
      </c>
      <c r="B12" s="2">
        <f t="shared" si="1"/>
        <v>12995.98</v>
      </c>
      <c r="D12" s="2">
        <f t="shared" si="0"/>
        <v>13379.95</v>
      </c>
    </row>
    <row r="13" spans="1:17" x14ac:dyDescent="0.25">
      <c r="A13">
        <v>11</v>
      </c>
      <c r="B13" s="2">
        <f t="shared" si="1"/>
        <v>13379.95</v>
      </c>
      <c r="D13" s="2">
        <f t="shared" si="0"/>
        <v>13775.27</v>
      </c>
    </row>
    <row r="14" spans="1:17" x14ac:dyDescent="0.25">
      <c r="A14">
        <v>12</v>
      </c>
      <c r="B14" s="2">
        <f t="shared" si="1"/>
        <v>13775.27</v>
      </c>
      <c r="D14" s="2">
        <f t="shared" si="0"/>
        <v>14182.27</v>
      </c>
    </row>
    <row r="15" spans="1:17" x14ac:dyDescent="0.25">
      <c r="A15">
        <v>13</v>
      </c>
      <c r="B15" s="2">
        <f t="shared" si="1"/>
        <v>14182.27</v>
      </c>
      <c r="C15" s="2">
        <f>ROUND($B$3/24*2,2)</f>
        <v>833.33</v>
      </c>
      <c r="D15" s="2">
        <f t="shared" si="0"/>
        <v>13767.96</v>
      </c>
    </row>
    <row r="16" spans="1:17" x14ac:dyDescent="0.25">
      <c r="A16">
        <v>14</v>
      </c>
      <c r="B16" s="2">
        <f t="shared" si="1"/>
        <v>13767.96</v>
      </c>
      <c r="C16" s="2">
        <f t="shared" ref="C16:C38" si="2">ROUND($B$3/24*2,2)</f>
        <v>833.33</v>
      </c>
      <c r="D16" s="2">
        <f t="shared" si="0"/>
        <v>13341.41</v>
      </c>
    </row>
    <row r="17" spans="1:4" x14ac:dyDescent="0.25">
      <c r="A17">
        <v>15</v>
      </c>
      <c r="B17" s="2">
        <f t="shared" si="1"/>
        <v>13341.41</v>
      </c>
      <c r="C17" s="2">
        <f t="shared" si="2"/>
        <v>833.33</v>
      </c>
      <c r="D17" s="2">
        <f t="shared" si="0"/>
        <v>12902.26</v>
      </c>
    </row>
    <row r="18" spans="1:4" x14ac:dyDescent="0.25">
      <c r="A18">
        <v>16</v>
      </c>
      <c r="B18" s="2">
        <f t="shared" si="1"/>
        <v>12902.26</v>
      </c>
      <c r="C18" s="2">
        <f t="shared" si="2"/>
        <v>833.33</v>
      </c>
      <c r="D18" s="2">
        <f t="shared" si="0"/>
        <v>12450.13</v>
      </c>
    </row>
    <row r="19" spans="1:4" x14ac:dyDescent="0.25">
      <c r="A19">
        <v>17</v>
      </c>
      <c r="B19" s="2">
        <f t="shared" si="1"/>
        <v>12450.13</v>
      </c>
      <c r="C19" s="2">
        <f t="shared" si="2"/>
        <v>833.33</v>
      </c>
      <c r="D19" s="2">
        <f t="shared" si="0"/>
        <v>11984.64</v>
      </c>
    </row>
    <row r="20" spans="1:4" x14ac:dyDescent="0.25">
      <c r="A20">
        <v>18</v>
      </c>
      <c r="B20" s="2">
        <f t="shared" si="1"/>
        <v>11984.64</v>
      </c>
      <c r="C20" s="2">
        <f t="shared" si="2"/>
        <v>833.33</v>
      </c>
      <c r="D20" s="2">
        <f t="shared" si="0"/>
        <v>11505.4</v>
      </c>
    </row>
    <row r="21" spans="1:4" x14ac:dyDescent="0.25">
      <c r="A21">
        <v>19</v>
      </c>
      <c r="B21" s="2">
        <f t="shared" si="1"/>
        <v>11505.4</v>
      </c>
      <c r="C21" s="2">
        <f t="shared" si="2"/>
        <v>833.33</v>
      </c>
      <c r="D21" s="2">
        <f t="shared" si="0"/>
        <v>11012</v>
      </c>
    </row>
    <row r="22" spans="1:4" x14ac:dyDescent="0.25">
      <c r="A22">
        <v>20</v>
      </c>
      <c r="B22" s="2">
        <f t="shared" si="1"/>
        <v>11012</v>
      </c>
      <c r="C22" s="2">
        <f t="shared" si="2"/>
        <v>833.33</v>
      </c>
      <c r="D22" s="2">
        <f t="shared" si="0"/>
        <v>10504.02</v>
      </c>
    </row>
    <row r="23" spans="1:4" x14ac:dyDescent="0.25">
      <c r="A23">
        <v>21</v>
      </c>
      <c r="B23" s="2">
        <f t="shared" si="1"/>
        <v>10504.02</v>
      </c>
      <c r="C23" s="2">
        <f t="shared" si="2"/>
        <v>833.33</v>
      </c>
      <c r="D23" s="2">
        <f t="shared" si="0"/>
        <v>9981.0300000000007</v>
      </c>
    </row>
    <row r="24" spans="1:4" x14ac:dyDescent="0.25">
      <c r="A24">
        <v>22</v>
      </c>
      <c r="B24" s="2">
        <f t="shared" si="1"/>
        <v>9981.0300000000007</v>
      </c>
      <c r="C24" s="2">
        <f t="shared" si="2"/>
        <v>833.33</v>
      </c>
      <c r="D24" s="2">
        <f t="shared" si="0"/>
        <v>9442.59</v>
      </c>
    </row>
    <row r="25" spans="1:4" x14ac:dyDescent="0.25">
      <c r="A25">
        <v>23</v>
      </c>
      <c r="B25" s="2">
        <f t="shared" si="1"/>
        <v>9442.59</v>
      </c>
      <c r="C25" s="2">
        <f t="shared" si="2"/>
        <v>833.33</v>
      </c>
      <c r="D25" s="2">
        <f t="shared" si="0"/>
        <v>8888.24</v>
      </c>
    </row>
    <row r="26" spans="1:4" x14ac:dyDescent="0.25">
      <c r="A26">
        <v>24</v>
      </c>
      <c r="B26" s="2">
        <f t="shared" si="1"/>
        <v>8888.24</v>
      </c>
      <c r="C26" s="2">
        <f t="shared" si="2"/>
        <v>833.33</v>
      </c>
      <c r="D26" s="2">
        <f t="shared" si="0"/>
        <v>8317.52</v>
      </c>
    </row>
    <row r="27" spans="1:4" x14ac:dyDescent="0.25">
      <c r="A27">
        <v>25</v>
      </c>
      <c r="B27" s="2">
        <f t="shared" si="1"/>
        <v>8317.52</v>
      </c>
      <c r="C27" s="2">
        <f t="shared" si="2"/>
        <v>833.33</v>
      </c>
      <c r="D27" s="2">
        <f t="shared" si="0"/>
        <v>7729.93</v>
      </c>
    </row>
    <row r="28" spans="1:4" x14ac:dyDescent="0.25">
      <c r="A28">
        <v>26</v>
      </c>
      <c r="B28" s="2">
        <f t="shared" si="1"/>
        <v>7729.93</v>
      </c>
      <c r="C28" s="2">
        <f t="shared" si="2"/>
        <v>833.33</v>
      </c>
      <c r="D28" s="2">
        <f t="shared" si="0"/>
        <v>7124.98</v>
      </c>
    </row>
    <row r="29" spans="1:4" x14ac:dyDescent="0.25">
      <c r="A29">
        <v>27</v>
      </c>
      <c r="B29" s="2">
        <f t="shared" si="1"/>
        <v>7124.98</v>
      </c>
      <c r="C29" s="2">
        <f t="shared" si="2"/>
        <v>833.33</v>
      </c>
      <c r="D29" s="2">
        <f t="shared" si="0"/>
        <v>6502.16</v>
      </c>
    </row>
    <row r="30" spans="1:4" x14ac:dyDescent="0.25">
      <c r="A30">
        <v>28</v>
      </c>
      <c r="B30" s="2">
        <f t="shared" si="1"/>
        <v>6502.16</v>
      </c>
      <c r="C30" s="2">
        <f t="shared" si="2"/>
        <v>833.33</v>
      </c>
      <c r="D30" s="2">
        <f t="shared" si="0"/>
        <v>5860.94</v>
      </c>
    </row>
    <row r="31" spans="1:4" x14ac:dyDescent="0.25">
      <c r="A31">
        <v>29</v>
      </c>
      <c r="B31" s="2">
        <f t="shared" si="1"/>
        <v>5860.94</v>
      </c>
      <c r="C31" s="2">
        <f t="shared" si="2"/>
        <v>833.33</v>
      </c>
      <c r="D31" s="2">
        <f t="shared" si="0"/>
        <v>5200.7700000000004</v>
      </c>
    </row>
    <row r="32" spans="1:4" x14ac:dyDescent="0.25">
      <c r="A32">
        <v>30</v>
      </c>
      <c r="B32" s="2">
        <f t="shared" si="1"/>
        <v>5200.7700000000004</v>
      </c>
      <c r="C32" s="2">
        <f t="shared" si="2"/>
        <v>833.33</v>
      </c>
      <c r="D32" s="2">
        <f t="shared" si="0"/>
        <v>4521.1000000000004</v>
      </c>
    </row>
    <row r="33" spans="1:4" x14ac:dyDescent="0.25">
      <c r="A33">
        <v>31</v>
      </c>
      <c r="B33" s="2">
        <f t="shared" si="1"/>
        <v>4521.1000000000004</v>
      </c>
      <c r="C33" s="2">
        <f t="shared" si="2"/>
        <v>833.33</v>
      </c>
      <c r="D33" s="2">
        <f t="shared" si="0"/>
        <v>3821.35</v>
      </c>
    </row>
    <row r="34" spans="1:4" x14ac:dyDescent="0.25">
      <c r="A34">
        <v>32</v>
      </c>
      <c r="B34" s="2">
        <f t="shared" si="1"/>
        <v>3821.35</v>
      </c>
      <c r="C34" s="2">
        <f t="shared" si="2"/>
        <v>833.33</v>
      </c>
      <c r="D34" s="2">
        <f t="shared" si="0"/>
        <v>3100.92</v>
      </c>
    </row>
    <row r="35" spans="1:4" x14ac:dyDescent="0.25">
      <c r="A35">
        <v>33</v>
      </c>
      <c r="B35" s="2">
        <f t="shared" si="1"/>
        <v>3100.92</v>
      </c>
      <c r="C35" s="2">
        <f t="shared" si="2"/>
        <v>833.33</v>
      </c>
      <c r="D35" s="2">
        <f t="shared" si="0"/>
        <v>2359.21</v>
      </c>
    </row>
    <row r="36" spans="1:4" x14ac:dyDescent="0.25">
      <c r="A36">
        <v>34</v>
      </c>
      <c r="B36" s="2">
        <f t="shared" si="1"/>
        <v>2359.21</v>
      </c>
      <c r="C36" s="2">
        <f t="shared" si="2"/>
        <v>833.33</v>
      </c>
      <c r="D36" s="2">
        <f t="shared" si="0"/>
        <v>1595.58</v>
      </c>
    </row>
    <row r="37" spans="1:4" x14ac:dyDescent="0.25">
      <c r="A37">
        <v>35</v>
      </c>
      <c r="B37" s="2">
        <f t="shared" si="1"/>
        <v>1595.58</v>
      </c>
      <c r="C37" s="2">
        <f t="shared" si="2"/>
        <v>833.33</v>
      </c>
      <c r="D37" s="2">
        <f t="shared" si="0"/>
        <v>809.39</v>
      </c>
    </row>
    <row r="38" spans="1:4" x14ac:dyDescent="0.25">
      <c r="A38">
        <v>36</v>
      </c>
      <c r="B38" s="2">
        <f t="shared" si="1"/>
        <v>809.39</v>
      </c>
      <c r="C38" s="2">
        <f t="shared" si="2"/>
        <v>833.33</v>
      </c>
      <c r="D38" s="2">
        <f>IF(ABS(ROUND(B38*(1+annual_rate/12)-C38,2))&lt;tolerance,0,ROUND(B38*(1+annual_rate/12)-C38,2))</f>
        <v>0</v>
      </c>
    </row>
    <row r="39" spans="1:4" x14ac:dyDescent="0.25">
      <c r="C39" s="2">
        <f>SUM(C3:C38)</f>
        <v>19999.920000000009</v>
      </c>
    </row>
  </sheetData>
  <mergeCells count="1">
    <mergeCell ref="L1:Q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Rate">
                <anchor moveWithCells="1" sizeWithCells="1">
                  <from>
                    <xdr:col>8</xdr:col>
                    <xdr:colOff>9525</xdr:colOff>
                    <xdr:row>6</xdr:row>
                    <xdr:rowOff>28575</xdr:rowOff>
                  </from>
                  <to>
                    <xdr:col>9</xdr:col>
                    <xdr:colOff>495300</xdr:colOff>
                    <xdr:row>8</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vt:i4>
      </vt:variant>
    </vt:vector>
  </HeadingPairs>
  <TitlesOfParts>
    <vt:vector size="5" baseType="lpstr">
      <vt:lpstr>Get The Rate</vt:lpstr>
      <vt:lpstr>annual_rate</vt:lpstr>
      <vt:lpstr>finalremainder</vt:lpstr>
      <vt:lpstr>Principal</vt:lpstr>
      <vt:lpstr>tolerance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michael</cp:lastModifiedBy>
  <cp:lastPrinted>2022-02-23T22:47:54Z</cp:lastPrinted>
  <dcterms:created xsi:type="dcterms:W3CDTF">2022-02-23T22:43:35Z</dcterms:created>
  <dcterms:modified xsi:type="dcterms:W3CDTF">2022-02-24T17:17:01Z</dcterms:modified>
</cp:coreProperties>
</file>